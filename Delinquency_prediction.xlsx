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75ada5a9f7b24a/Desktop/Delequency final project files/"/>
    </mc:Choice>
  </mc:AlternateContent>
  <xr:revisionPtr revIDLastSave="193" documentId="11_7A9BD9B2166C2C31DD631F08425400DE9F81A3C1" xr6:coauthVersionLast="47" xr6:coauthVersionMax="47" xr10:uidLastSave="{8C43439E-578B-4680-B2CA-6AB380675FC6}"/>
  <bookViews>
    <workbookView xWindow="28680" yWindow="-120" windowWidth="29040" windowHeight="15720" firstSheet="1" activeTab="6" xr2:uid="{00000000-000D-0000-FFFF-FFFF00000000}"/>
  </bookViews>
  <sheets>
    <sheet name="Data Overview" sheetId="1" r:id="rId1"/>
    <sheet name="Executive Summary" sheetId="2" r:id="rId2"/>
    <sheet name="Target Distribution" sheetId="3" r:id="rId3"/>
    <sheet name="Feature Comparison" sheetId="4" r:id="rId4"/>
    <sheet name="Categorical Breakdown" sheetId="5" r:id="rId5"/>
    <sheet name="Payment History" sheetId="6" r:id="rId6"/>
    <sheet name="Risk Profiles" sheetId="8" r:id="rId7"/>
  </sheets>
  <calcPr calcId="0"/>
</workbook>
</file>

<file path=xl/sharedStrings.xml><?xml version="1.0" encoding="utf-8"?>
<sst xmlns="http://schemas.openxmlformats.org/spreadsheetml/2006/main" count="376" uniqueCount="267">
  <si>
    <t>DATA OVERVIEW &amp; FIELD DICTIONARY</t>
  </si>
  <si>
    <t>Delinquency Prediction Dataset  |  470 Customers  |  24 Columns  |  No Missing Values</t>
  </si>
  <si>
    <t>ABOUT THE DATASET</t>
  </si>
  <si>
    <t>This dataset contains financial and behavioural records for 470 bank customers. The objective is to predict whether a customer is likely to default or become delinquent on their loan obligations. Each row represents one customer. The target variable 'y' (also labelled Risk_Prediction) indicates whether the customer is classified as delinquent (y = 1) — meaning it is risky to extend further credit — or safe to lend to (y = 0). The dataset covers demographic attributes, credit history, loan details, payment patterns over 6 months, and derived financial ratios. There are no missing values across all 470 records.</t>
  </si>
  <si>
    <t>DATASET AT A GLANCE</t>
  </si>
  <si>
    <t>Total Records</t>
  </si>
  <si>
    <t>470 customers</t>
  </si>
  <si>
    <t>Total Features</t>
  </si>
  <si>
    <t>24 columns (23 predictors + 1 target)</t>
  </si>
  <si>
    <t>Target Variable</t>
  </si>
  <si>
    <t>y  /  Risk_Prediction  (0 = Safe, 1 = Delinquent)</t>
  </si>
  <si>
    <t>Class Balance</t>
  </si>
  <si>
    <t>Delinquent (y=1): 423 (90.0%)   |   Safe (y=0): 47 (10.0%)</t>
  </si>
  <si>
    <t>Missing Values</t>
  </si>
  <si>
    <t>None — dataset is complete across all columns</t>
  </si>
  <si>
    <t>Numerical Features</t>
  </si>
  <si>
    <t>13 numeric columns (Age, Income, Credit Score, Loan Balance, ratios, etc.)</t>
  </si>
  <si>
    <t>Categorical Features</t>
  </si>
  <si>
    <t>3 categorical columns (Employment Status, Credit Card Type, Location)</t>
  </si>
  <si>
    <t>Time-Series Features</t>
  </si>
  <si>
    <t>6 monthly payment status columns (Month_1 to Month_6)</t>
  </si>
  <si>
    <t>Derived Features</t>
  </si>
  <si>
    <t>late_payment, on_time_payment, Missed payment, Loan_Income_Ratio</t>
  </si>
  <si>
    <t>Customer ID Range</t>
  </si>
  <si>
    <t>CUST0001 to CUST0470</t>
  </si>
  <si>
    <t>Age Range</t>
  </si>
  <si>
    <t>18 – 74 years (mean: 46.2 years)</t>
  </si>
  <si>
    <t>Income Range</t>
  </si>
  <si>
    <t>$15,404 – $199,943  (mean: $108,530)</t>
  </si>
  <si>
    <t>Credit Score Range</t>
  </si>
  <si>
    <t>302 – 847  (mean: 579.7)</t>
  </si>
  <si>
    <t>FIELD DICTIONARY  —  All 24 Columns Explained</t>
  </si>
  <si>
    <t>Column Name</t>
  </si>
  <si>
    <t>Data Type</t>
  </si>
  <si>
    <t>Category</t>
  </si>
  <si>
    <t>Description</t>
  </si>
  <si>
    <t>Example Values</t>
  </si>
  <si>
    <t>Customer_ID</t>
  </si>
  <si>
    <t>Text</t>
  </si>
  <si>
    <t>Identifier</t>
  </si>
  <si>
    <t>Unique customer identifier. Not used in modelling.</t>
  </si>
  <si>
    <t>CUST0001, CUST0470</t>
  </si>
  <si>
    <t>Age</t>
  </si>
  <si>
    <t>Numeric</t>
  </si>
  <si>
    <t>Demographic</t>
  </si>
  <si>
    <t>Customer's age in years at time of record.</t>
  </si>
  <si>
    <t>18 – 74  (mean: 46)</t>
  </si>
  <si>
    <t>Income</t>
  </si>
  <si>
    <t>Financial</t>
  </si>
  <si>
    <t>Annual income of the customer in USD.</t>
  </si>
  <si>
    <t>$15,404 – $199,943</t>
  </si>
  <si>
    <t>Credit_Score</t>
  </si>
  <si>
    <t>Credit</t>
  </si>
  <si>
    <t>Standard credit score. Higher = better creditworthiness.</t>
  </si>
  <si>
    <t>302 – 847  (mean: 580)</t>
  </si>
  <si>
    <t>Credit_Utilization</t>
  </si>
  <si>
    <t>Ratio of credit used vs total available credit limit (0–1). High use can signal financial stress.</t>
  </si>
  <si>
    <t>0.05 – 1.026</t>
  </si>
  <si>
    <t>Missed_Payments</t>
  </si>
  <si>
    <t>Payment</t>
  </si>
  <si>
    <t>Total number of historical missed payments on record for the customer.</t>
  </si>
  <si>
    <t>0 – 6</t>
  </si>
  <si>
    <t>Delinquent_Account</t>
  </si>
  <si>
    <t>Binary flag (0/1). 1 = customer has at least one account currently in delinquency.</t>
  </si>
  <si>
    <t>0 or 1</t>
  </si>
  <si>
    <t>Loan_Balance</t>
  </si>
  <si>
    <t>Outstanding loan balance in USD at time of record.</t>
  </si>
  <si>
    <t>$612 – $99,620</t>
  </si>
  <si>
    <t>Debt_to_Income_Ratio</t>
  </si>
  <si>
    <t>Ratio of total monthly debt payments to gross monthly income. Lower is safer.</t>
  </si>
  <si>
    <t>0.10 – 0.55  (mean: 0.30)</t>
  </si>
  <si>
    <t>Employment_Status</t>
  </si>
  <si>
    <t>Customer's employment situation. Categories: Employed, EMP, Self-employed, Unemployed, retired.</t>
  </si>
  <si>
    <t>Employed, Self-employed…</t>
  </si>
  <si>
    <t>Account_Tenure</t>
  </si>
  <si>
    <t>Relationship</t>
  </si>
  <si>
    <t>Number of months the customer has held an account with the institution.</t>
  </si>
  <si>
    <t>0 – 19 months</t>
  </si>
  <si>
    <t>Credit_Card_Type</t>
  </si>
  <si>
    <t>Product</t>
  </si>
  <si>
    <t>Type of credit card held by the customer.</t>
  </si>
  <si>
    <t>Standard, Gold, Platinum, Student, Business</t>
  </si>
  <si>
    <t>Location</t>
  </si>
  <si>
    <t>City where the customer is based.</t>
  </si>
  <si>
    <t>Chicago, Houston, Los Angeles, New York, Phoenix</t>
  </si>
  <si>
    <t>Month_1</t>
  </si>
  <si>
    <t>Payment History</t>
  </si>
  <si>
    <t>Payment status in Month 1 of the observation window.</t>
  </si>
  <si>
    <t>On-time, Late, Missed</t>
  </si>
  <si>
    <t>Month_2</t>
  </si>
  <si>
    <t>Payment status in Month 2.</t>
  </si>
  <si>
    <t>Month_3</t>
  </si>
  <si>
    <t>Payment status in Month 3.</t>
  </si>
  <si>
    <t>Month_4</t>
  </si>
  <si>
    <t>Payment status in Month 4.</t>
  </si>
  <si>
    <t>Month_5</t>
  </si>
  <si>
    <t>Payment status in Month 5.</t>
  </si>
  <si>
    <t>Month_6</t>
  </si>
  <si>
    <t>Payment status in Month 6 (most recent).</t>
  </si>
  <si>
    <t>late_payment</t>
  </si>
  <si>
    <t>Derived</t>
  </si>
  <si>
    <t>Count of 'Late' payment statuses across the 6 months observed.</t>
  </si>
  <si>
    <t>on_time_payment</t>
  </si>
  <si>
    <t>Count of 'On-time' payment statuses across the 6 months observed.</t>
  </si>
  <si>
    <t>0 – 5</t>
  </si>
  <si>
    <t>Missed payment</t>
  </si>
  <si>
    <t>Count of 'Missed' payment statuses across the 6 months observed. Strongest predictor of y.</t>
  </si>
  <si>
    <t>Loan_Income_Ratio</t>
  </si>
  <si>
    <t>Loan Balance ÷ Annual Income. Higher values indicate a greater debt burden relative to earnings.</t>
  </si>
  <si>
    <t>0.005 – 5.94</t>
  </si>
  <si>
    <t>Risk_Prediction / y</t>
  </si>
  <si>
    <t>TARGET</t>
  </si>
  <si>
    <t>Target variable. 1 = Delinquent (risky to lend more money). 0 = Safe to lend. This is the column being predicted.</t>
  </si>
  <si>
    <t>LOAN DELINQUENCY RISK REPORT</t>
  </si>
  <si>
    <t>Predictive Analysis of Customer Delinquency (y=1 Risk | y=0 Safe)</t>
  </si>
  <si>
    <t>Total Customers</t>
  </si>
  <si>
    <t>Delinquent (y=1)</t>
  </si>
  <si>
    <t>Safe to Lend (y=0)</t>
  </si>
  <si>
    <t>Features Analysed</t>
  </si>
  <si>
    <t>470</t>
  </si>
  <si>
    <t>423  |  90.0%</t>
  </si>
  <si>
    <t>47  |  10.0%</t>
  </si>
  <si>
    <t>None</t>
  </si>
  <si>
    <t>23 Features</t>
  </si>
  <si>
    <t>KEY FINDINGS</t>
  </si>
  <si>
    <t xml:space="preserve">  1.  Class Imbalance</t>
  </si>
  <si>
    <t xml:space="preserve">  90% of customers are flagged as delinquent (y=1). Dataset is highly imbalanced.</t>
  </si>
  <si>
    <t xml:space="preserve">  2.  Top Risk Factor</t>
  </si>
  <si>
    <t xml:space="preserve">  Missed Payments (monthly) shows the highest correlation with delinquency (r = 0.38).</t>
  </si>
  <si>
    <t xml:space="preserve">  3.  Income Gap</t>
  </si>
  <si>
    <t xml:space="preserve">  Delinquent customers earn ~20% less on average ($105,894 vs $132,251).</t>
  </si>
  <si>
    <t xml:space="preserve">  4.  Loan Burden</t>
  </si>
  <si>
    <t xml:space="preserve">  Delinquent customers carry nearly 2x the loan balance ($51,116 vs $26,955).</t>
  </si>
  <si>
    <t xml:space="preserve">  5.  Loan-Income Ratio</t>
  </si>
  <si>
    <t xml:space="preserve">  Delinquent customers have a 3.3x higher Loan-Income Ratio (0.72 vs 0.22).</t>
  </si>
  <si>
    <t xml:space="preserve">  6.  Payment Behavior</t>
  </si>
  <si>
    <t xml:space="preserve">  Delinquent customers show 37% missed monthly payments vs only 6–15% for safe.</t>
  </si>
  <si>
    <t xml:space="preserve">  7.  Credit Score</t>
  </si>
  <si>
    <t xml:space="preserve">  Safe customers average a 51-point higher credit score (625.6 vs 574.6).</t>
  </si>
  <si>
    <t xml:space="preserve">  8.  Employment Risk</t>
  </si>
  <si>
    <t xml:space="preserve">  Retired and Self-employed customers have highest delinquency rates (94% and 93%).</t>
  </si>
  <si>
    <t xml:space="preserve">  9.  Location Risk</t>
  </si>
  <si>
    <t xml:space="preserve">  New York has the highest delinquency rate (93.2%); Phoenix the lowest (86.2%).</t>
  </si>
  <si>
    <t xml:space="preserve">  10.  Card Type</t>
  </si>
  <si>
    <t xml:space="preserve">  Student cardholders show 93.3% delinquency — the highest of any card type.</t>
  </si>
  <si>
    <t>RECOMMENDATION</t>
  </si>
  <si>
    <t xml:space="preserve">  ✔  Tighten lending criteria for customers with Loan-Income Ratio &gt; 0.5 or Missed Payments &gt; 3.</t>
  </si>
  <si>
    <t xml:space="preserve">  ✔  Flag customers with 3+ consecutive 'Missed' monthly payments for immediate review.</t>
  </si>
  <si>
    <t xml:space="preserve">  ✔  Prioritize credit scoring models to address class imbalance before production deployment.</t>
  </si>
  <si>
    <t xml:space="preserve">  ✔  Review Student and Self-employed customer segments for risk-adjusted lending policies.</t>
  </si>
  <si>
    <t xml:space="preserve">  ✔  Investigate New York portfolio for concentration risk — highest delinquency among all locations.</t>
  </si>
  <si>
    <t>TARGET VARIABLE DISTRIBUTION  (y)</t>
  </si>
  <si>
    <t>Class</t>
  </si>
  <si>
    <t>Label</t>
  </si>
  <si>
    <t>Count</t>
  </si>
  <si>
    <t>% of Total</t>
  </si>
  <si>
    <t>Risk Level</t>
  </si>
  <si>
    <t>Safe to Lend</t>
  </si>
  <si>
    <t>10.0%</t>
  </si>
  <si>
    <t>Low</t>
  </si>
  <si>
    <t>Delinquent</t>
  </si>
  <si>
    <t>90.0%</t>
  </si>
  <si>
    <t>High</t>
  </si>
  <si>
    <t>Total</t>
  </si>
  <si>
    <t>100.0%</t>
  </si>
  <si>
    <t>Safe (y=0)</t>
  </si>
  <si>
    <t>⚠  WARNING: Severe Class Imbalance — 90% Delinquent. Any predictive model must use oversampling (SMOTE), undersampling, or class-weight adjustments.</t>
  </si>
  <si>
    <t>NUMERICAL FEATURE COMPARISON BY TARGET CLASS</t>
  </si>
  <si>
    <t>Feature</t>
  </si>
  <si>
    <t>Delinquent (y=1) Mean</t>
  </si>
  <si>
    <t>Safe (y=0) Mean</t>
  </si>
  <si>
    <t>Overall Mean</t>
  </si>
  <si>
    <t>Risk Direction</t>
  </si>
  <si>
    <t>→ Neutral</t>
  </si>
  <si>
    <t>Income ($)</t>
  </si>
  <si>
    <t>$105,894</t>
  </si>
  <si>
    <t>$132,251</t>
  </si>
  <si>
    <t>$108,530</t>
  </si>
  <si>
    <t>↓ Lower = Higher Risk</t>
  </si>
  <si>
    <t>Credit Score</t>
  </si>
  <si>
    <t>Credit Utilization</t>
  </si>
  <si>
    <t>↓ Lower = Higher Risk*</t>
  </si>
  <si>
    <t>Missed Payments (hist.)</t>
  </si>
  <si>
    <t>↑ Higher = Higher Risk</t>
  </si>
  <si>
    <t>Delinquent Account Flag</t>
  </si>
  <si>
    <t>Loan Balance ($)</t>
  </si>
  <si>
    <t>$51,116</t>
  </si>
  <si>
    <t>$26,955</t>
  </si>
  <si>
    <t>$48,700</t>
  </si>
  <si>
    <t>Debt-to-Income Ratio</t>
  </si>
  <si>
    <t>$0</t>
  </si>
  <si>
    <t>Account Tenure (months)</t>
  </si>
  <si>
    <t>→ Slight Neutral</t>
  </si>
  <si>
    <t>Late Payments (monthly)</t>
  </si>
  <si>
    <t>On-time Payments (monthly)</t>
  </si>
  <si>
    <t>Missed Payments (monthly)</t>
  </si>
  <si>
    <t>Loan-Income Ratio</t>
  </si>
  <si>
    <t>$1</t>
  </si>
  <si>
    <t>CATEGORICAL FEATURE BREAKDOWN BY DELINQUENCY</t>
  </si>
  <si>
    <t xml:space="preserve">  Employment Status</t>
  </si>
  <si>
    <t>Safe % (y=0)</t>
  </si>
  <si>
    <t>Delinquent % (y=1)</t>
  </si>
  <si>
    <t>EMP</t>
  </si>
  <si>
    <t>Moderate</t>
  </si>
  <si>
    <t>Employed</t>
  </si>
  <si>
    <t>Self-employed</t>
  </si>
  <si>
    <t>Very High</t>
  </si>
  <si>
    <t>Unemployed</t>
  </si>
  <si>
    <t>employed</t>
  </si>
  <si>
    <t>retired</t>
  </si>
  <si>
    <t xml:space="preserve">  Credit Card Type</t>
  </si>
  <si>
    <t>Business</t>
  </si>
  <si>
    <t>Gold</t>
  </si>
  <si>
    <t>Platinum</t>
  </si>
  <si>
    <t>Standard</t>
  </si>
  <si>
    <t>Student</t>
  </si>
  <si>
    <t xml:space="preserve">  Location</t>
  </si>
  <si>
    <t>Chicago</t>
  </si>
  <si>
    <t>Houston</t>
  </si>
  <si>
    <t>Los Angeles</t>
  </si>
  <si>
    <t>New York</t>
  </si>
  <si>
    <t>Phoenix</t>
  </si>
  <si>
    <t>MONTHLY PAYMENT BEHAVIOR ANALYSIS (6 Months)</t>
  </si>
  <si>
    <t>Delinquent Customers (y=1)  — % of Payments per Status per Month</t>
  </si>
  <si>
    <t>Status</t>
  </si>
  <si>
    <t>On-time</t>
  </si>
  <si>
    <t>Late</t>
  </si>
  <si>
    <t>Missed</t>
  </si>
  <si>
    <t>Safe Customers (y=0)  — % of Payments per Status per Month</t>
  </si>
  <si>
    <t xml:space="preserve">  KEY INSIGHT: Delinquent customers show 35–40% missed payments per month consistently. Safe customers miss only 6–21% and have 39–53% on-time rates.</t>
  </si>
  <si>
    <t>Account Tenure</t>
  </si>
  <si>
    <t>CUSTOMER RISK PROFILE COMPARISON</t>
  </si>
  <si>
    <t>Attribute</t>
  </si>
  <si>
    <t>HIGH RISK  (y=1)</t>
  </si>
  <si>
    <t>LOW RISK  (y=0)</t>
  </si>
  <si>
    <t>Sample Count</t>
  </si>
  <si>
    <t>423 (90.0%)</t>
  </si>
  <si>
    <t>47 (10.0%)</t>
  </si>
  <si>
    <t>Average Age</t>
  </si>
  <si>
    <t>46.2 years</t>
  </si>
  <si>
    <t>46.6 years</t>
  </si>
  <si>
    <t>Average Income</t>
  </si>
  <si>
    <t>Average Credit Score</t>
  </si>
  <si>
    <t>Average Loan Balance</t>
  </si>
  <si>
    <t>3.12 avg</t>
  </si>
  <si>
    <t>1.57 avg</t>
  </si>
  <si>
    <t>Missed Pmts / Month</t>
  </si>
  <si>
    <t>2.16 avg</t>
  </si>
  <si>
    <t>0.72 avg</t>
  </si>
  <si>
    <t>On-time Pmts / Month</t>
  </si>
  <si>
    <t>1.91 avg</t>
  </si>
  <si>
    <t>2.74 avg</t>
  </si>
  <si>
    <t>0.482 (48.2%)</t>
  </si>
  <si>
    <t>0.535 (53.5%)</t>
  </si>
  <si>
    <t>9.6 months avg</t>
  </si>
  <si>
    <t>10.2 months avg</t>
  </si>
  <si>
    <t>Top Employment</t>
  </si>
  <si>
    <t>Retired/Self-emp.</t>
  </si>
  <si>
    <t>Unemployed (17.2% safe)</t>
  </si>
  <si>
    <t>Riskiest Card Type</t>
  </si>
  <si>
    <t>Student (93.3%)</t>
  </si>
  <si>
    <t>Business (15.0% safe)</t>
  </si>
  <si>
    <t>Riskiest Location</t>
  </si>
  <si>
    <t>New York (93.2%)</t>
  </si>
  <si>
    <t>Phoenix (13.8% safe)</t>
  </si>
  <si>
    <t xml:space="preserve">  Note: High Risk (y=1) customers carry 3.3x the Loan-Income Ratio and 3x more monthly missed payments than Safe customers.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</si>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</sst>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0"/>
      <color rgb="FFAAAAAA"/>
      <name val="Arial"/>
      <family val="2"/>
    </font>
    <font>
      <sz val="9"/>
      <color rgb="FFDDDDDD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1A7A4A"/>
      <name val="Arial"/>
      <family val="2"/>
    </font>
    <font>
      <sz val="10"/>
      <color rgb="FFC0392B"/>
      <name val="Arial"/>
      <family val="2"/>
    </font>
    <font>
      <b/>
      <sz val="10"/>
      <color rgb="FFC0392B"/>
      <name val="Arial"/>
      <family val="2"/>
    </font>
    <font>
      <b/>
      <sz val="10"/>
      <color rgb="FF1A7A4A"/>
      <name val="Arial"/>
      <family val="2"/>
    </font>
    <font>
      <i/>
      <sz val="9"/>
      <color rgb="FF888888"/>
      <name val="Arial"/>
      <family val="2"/>
    </font>
    <font>
      <i/>
      <sz val="9"/>
      <color rgb="FFC0392B"/>
      <name val="Arial"/>
      <family val="2"/>
    </font>
    <font>
      <b/>
      <sz val="10"/>
      <color rgb="FFF0A500"/>
      <name val="Arial"/>
      <family val="2"/>
    </font>
    <font>
      <sz val="10"/>
      <color rgb="FFF0A500"/>
      <name val="Arial"/>
      <family val="2"/>
    </font>
    <font>
      <b/>
      <sz val="9"/>
      <color rgb="FFFFFFFF"/>
      <name val="Arial"/>
      <family val="2"/>
    </font>
    <font>
      <sz val="9"/>
      <color rgb="FF1B2A4A"/>
      <name val="Arial"/>
      <family val="2"/>
    </font>
    <font>
      <i/>
      <sz val="10"/>
      <color rgb="FF1B2A4A"/>
      <name val="Arial"/>
      <family val="2"/>
    </font>
    <font>
      <b/>
      <sz val="10"/>
      <color rgb="FF2E5090"/>
      <name val="Arial"/>
      <family val="2"/>
    </font>
    <font>
      <b/>
      <sz val="9"/>
      <color rgb="FF3949AB"/>
      <name val="Arial"/>
      <family val="2"/>
    </font>
    <font>
      <i/>
      <sz val="9"/>
      <color rgb="FF666666"/>
      <name val="Arial"/>
      <family val="2"/>
    </font>
    <font>
      <b/>
      <sz val="9"/>
      <color rgb="FFE65100"/>
      <name val="Arial"/>
      <family val="2"/>
    </font>
    <font>
      <b/>
      <sz val="9"/>
      <color rgb="FF2E7D32"/>
      <name val="Arial"/>
      <family val="2"/>
    </font>
    <font>
      <b/>
      <sz val="9"/>
      <color rgb="FFC62828"/>
      <name val="Arial"/>
      <family val="2"/>
    </font>
    <font>
      <b/>
      <sz val="9"/>
      <color rgb="FFF9A825"/>
      <name val="Arial"/>
      <family val="2"/>
    </font>
    <font>
      <b/>
      <sz val="9"/>
      <color rgb="FF00695C"/>
      <name val="Arial"/>
      <family val="2"/>
    </font>
    <font>
      <b/>
      <sz val="9"/>
      <color rgb="FFAD1457"/>
      <name val="Arial"/>
      <family val="2"/>
    </font>
    <font>
      <b/>
      <sz val="9"/>
      <color rgb="FF1565C0"/>
      <name val="Arial"/>
      <family val="2"/>
    </font>
    <font>
      <b/>
      <sz val="9"/>
      <color rgb="FF6A1B9A"/>
      <name val="Arial"/>
      <family val="2"/>
    </font>
    <font>
      <sz val="9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3949AB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0"/>
      <color rgb="FFC62828"/>
      <name val="Arial"/>
      <family val="2"/>
    </font>
    <font>
      <b/>
      <sz val="10"/>
      <color rgb="FF1565C0"/>
      <name val="Arial"/>
      <family val="2"/>
    </font>
    <font>
      <b/>
      <sz val="10"/>
      <color rgb="FF6A1B9A"/>
      <name val="Arial"/>
      <family val="2"/>
    </font>
    <font>
      <b/>
      <sz val="10"/>
      <color rgb="FF00695C"/>
      <name val="Arial"/>
      <family val="2"/>
    </font>
    <font>
      <b/>
      <sz val="10"/>
      <color rgb="FFAD145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C0392B"/>
      </patternFill>
    </fill>
    <fill>
      <patternFill patternType="solid">
        <fgColor rgb="FF1A7A4A"/>
      </patternFill>
    </fill>
    <fill>
      <patternFill patternType="solid">
        <fgColor rgb="FF2E5090"/>
      </patternFill>
    </fill>
    <fill>
      <patternFill patternType="solid">
        <fgColor rgb="FFF0A500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DECEA"/>
      </patternFill>
    </fill>
    <fill>
      <patternFill patternType="solid">
        <fgColor rgb="FFE8F5EE"/>
      </patternFill>
    </fill>
    <fill>
      <patternFill patternType="solid">
        <fgColor rgb="FFF5F5F5"/>
      </patternFill>
    </fill>
    <fill>
      <patternFill patternType="solid">
        <fgColor rgb="FF3A5A8A"/>
      </patternFill>
    </fill>
    <fill>
      <patternFill patternType="solid">
        <fgColor rgb="FFFFF3CD"/>
      </patternFill>
    </fill>
    <fill>
      <patternFill patternType="solid">
        <fgColor rgb="FFEAF1FB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8" fillId="12" borderId="0" xfId="0" applyFont="1" applyFill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/>
    </xf>
    <xf numFmtId="0" fontId="24" fillId="17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0" fontId="29" fillId="22" borderId="1" xfId="0" applyFont="1" applyFill="1" applyBorder="1" applyAlignment="1">
      <alignment horizontal="center" vertical="center"/>
    </xf>
    <xf numFmtId="0" fontId="30" fillId="2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/>
    </xf>
    <xf numFmtId="10" fontId="9" fillId="10" borderId="1" xfId="0" applyNumberFormat="1" applyFont="1" applyFill="1" applyBorder="1" applyAlignment="1">
      <alignment horizontal="center" vertical="center"/>
    </xf>
    <xf numFmtId="10" fontId="10" fillId="9" borderId="1" xfId="0" applyNumberFormat="1" applyFont="1" applyFill="1" applyBorder="1" applyAlignment="1">
      <alignment horizontal="center" vertical="center"/>
    </xf>
    <xf numFmtId="10" fontId="16" fillId="13" borderId="1" xfId="0" applyNumberFormat="1" applyFont="1" applyFill="1" applyBorder="1" applyAlignment="1">
      <alignment horizontal="center" vertical="center"/>
    </xf>
    <xf numFmtId="10" fontId="12" fillId="10" borderId="1" xfId="0" applyNumberFormat="1" applyFont="1" applyFill="1" applyBorder="1" applyAlignment="1">
      <alignment horizontal="center" vertical="center"/>
    </xf>
    <xf numFmtId="10" fontId="11" fillId="9" borderId="1" xfId="0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horizontal="left" vertical="center" wrapText="1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7" fillId="14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/>
    <xf numFmtId="0" fontId="38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807E8E7-C022-478E-8B14-28EEDE7058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Delinquent vs Safe Customers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'Target Distribution'!$C$10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A7A4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6F-4995-A0AB-0E5DF573DB04}"/>
              </c:ext>
            </c:extLst>
          </c:dPt>
          <c:dPt>
            <c:idx val="1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6F-4995-A0AB-0E5DF573DB04}"/>
              </c:ext>
            </c:extLst>
          </c:dPt>
          <c:cat>
            <c:strRef>
              <c:f>'Target Distribution'!$B$11:$B$12</c:f>
              <c:strCache>
                <c:ptCount val="2"/>
                <c:pt idx="0">
                  <c:v>Safe (y=0)</c:v>
                </c:pt>
                <c:pt idx="1">
                  <c:v>Delinquent (y=1)</c:v>
                </c:pt>
              </c:strCache>
            </c:strRef>
          </c:cat>
          <c:val>
            <c:numRef>
              <c:f>'Target Distribution'!$C$11:$C$12</c:f>
              <c:numCache>
                <c:formatCode>General</c:formatCode>
                <c:ptCount val="2"/>
                <c:pt idx="0">
                  <c:v>47</c:v>
                </c:pt>
                <c:pt idx="1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6F-4995-A0AB-0E5DF573D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1"/>
  <sheetViews>
    <sheetView showGridLines="0" topLeftCell="A16" workbookViewId="0">
      <selection activeCell="C55" sqref="C55"/>
    </sheetView>
  </sheetViews>
  <sheetFormatPr defaultRowHeight="14.4" x14ac:dyDescent="0.3"/>
  <cols>
    <col min="1" max="1" width="3" customWidth="1"/>
    <col min="2" max="2" width="26" customWidth="1"/>
    <col min="3" max="4" width="14" customWidth="1"/>
    <col min="5" max="5" width="40" customWidth="1"/>
    <col min="6" max="6" width="22" customWidth="1"/>
    <col min="7" max="7" width="3" customWidth="1"/>
  </cols>
  <sheetData>
    <row r="1" spans="2:6" ht="43.95" customHeight="1" x14ac:dyDescent="0.3">
      <c r="B1" s="73" t="s">
        <v>0</v>
      </c>
      <c r="C1" s="67"/>
      <c r="D1" s="67"/>
      <c r="E1" s="67"/>
      <c r="F1" s="67"/>
    </row>
    <row r="2" spans="2:6" ht="18" customHeight="1" x14ac:dyDescent="0.3">
      <c r="B2" s="71" t="s">
        <v>1</v>
      </c>
      <c r="C2" s="67"/>
      <c r="D2" s="67"/>
      <c r="E2" s="67"/>
      <c r="F2" s="67"/>
    </row>
    <row r="3" spans="2:6" ht="7.95" customHeight="1" x14ac:dyDescent="0.3"/>
    <row r="4" spans="2:6" ht="24" customHeight="1" x14ac:dyDescent="0.3">
      <c r="B4" s="72" t="s">
        <v>2</v>
      </c>
      <c r="C4" s="67"/>
      <c r="D4" s="67"/>
      <c r="E4" s="67"/>
      <c r="F4" s="67"/>
    </row>
    <row r="5" spans="2:6" ht="72" customHeight="1" x14ac:dyDescent="0.3">
      <c r="B5" s="75" t="s">
        <v>3</v>
      </c>
      <c r="C5" s="67"/>
      <c r="D5" s="67"/>
      <c r="E5" s="67"/>
      <c r="F5" s="67"/>
    </row>
    <row r="6" spans="2:6" ht="7.95" customHeight="1" x14ac:dyDescent="0.3"/>
    <row r="7" spans="2:6" ht="24" customHeight="1" x14ac:dyDescent="0.3">
      <c r="B7" s="72" t="s">
        <v>4</v>
      </c>
      <c r="C7" s="67"/>
      <c r="D7" s="67"/>
      <c r="E7" s="67"/>
      <c r="F7" s="67"/>
    </row>
    <row r="8" spans="2:6" ht="22.05" customHeight="1" x14ac:dyDescent="0.3">
      <c r="B8" s="38" t="s">
        <v>5</v>
      </c>
      <c r="C8" s="74" t="s">
        <v>6</v>
      </c>
      <c r="D8" s="70"/>
      <c r="E8" s="70"/>
      <c r="F8" s="70"/>
    </row>
    <row r="9" spans="2:6" ht="22.05" customHeight="1" x14ac:dyDescent="0.3">
      <c r="B9" s="39" t="s">
        <v>7</v>
      </c>
      <c r="C9" s="69" t="s">
        <v>8</v>
      </c>
      <c r="D9" s="70"/>
      <c r="E9" s="70"/>
      <c r="F9" s="70"/>
    </row>
    <row r="10" spans="2:6" ht="22.05" customHeight="1" x14ac:dyDescent="0.3">
      <c r="B10" s="38" t="s">
        <v>9</v>
      </c>
      <c r="C10" s="74" t="s">
        <v>10</v>
      </c>
      <c r="D10" s="70"/>
      <c r="E10" s="70"/>
      <c r="F10" s="70"/>
    </row>
    <row r="11" spans="2:6" ht="22.05" customHeight="1" x14ac:dyDescent="0.3">
      <c r="B11" s="39" t="s">
        <v>11</v>
      </c>
      <c r="C11" s="69" t="s">
        <v>12</v>
      </c>
      <c r="D11" s="70"/>
      <c r="E11" s="70"/>
      <c r="F11" s="70"/>
    </row>
    <row r="12" spans="2:6" ht="22.05" customHeight="1" x14ac:dyDescent="0.3">
      <c r="B12" s="38" t="s">
        <v>13</v>
      </c>
      <c r="C12" s="74" t="s">
        <v>14</v>
      </c>
      <c r="D12" s="70"/>
      <c r="E12" s="70"/>
      <c r="F12" s="70"/>
    </row>
    <row r="13" spans="2:6" ht="22.05" customHeight="1" x14ac:dyDescent="0.3">
      <c r="B13" s="39" t="s">
        <v>15</v>
      </c>
      <c r="C13" s="69" t="s">
        <v>16</v>
      </c>
      <c r="D13" s="70"/>
      <c r="E13" s="70"/>
      <c r="F13" s="70"/>
    </row>
    <row r="14" spans="2:6" ht="22.05" customHeight="1" x14ac:dyDescent="0.3">
      <c r="B14" s="38" t="s">
        <v>17</v>
      </c>
      <c r="C14" s="74" t="s">
        <v>18</v>
      </c>
      <c r="D14" s="70"/>
      <c r="E14" s="70"/>
      <c r="F14" s="70"/>
    </row>
    <row r="15" spans="2:6" ht="22.05" customHeight="1" x14ac:dyDescent="0.3">
      <c r="B15" s="39" t="s">
        <v>19</v>
      </c>
      <c r="C15" s="69" t="s">
        <v>20</v>
      </c>
      <c r="D15" s="70"/>
      <c r="E15" s="70"/>
      <c r="F15" s="70"/>
    </row>
    <row r="16" spans="2:6" ht="22.05" customHeight="1" x14ac:dyDescent="0.3">
      <c r="B16" s="38" t="s">
        <v>21</v>
      </c>
      <c r="C16" s="74" t="s">
        <v>22</v>
      </c>
      <c r="D16" s="70"/>
      <c r="E16" s="70"/>
      <c r="F16" s="70"/>
    </row>
    <row r="17" spans="2:6" ht="22.05" customHeight="1" x14ac:dyDescent="0.3">
      <c r="B17" s="39" t="s">
        <v>23</v>
      </c>
      <c r="C17" s="69" t="s">
        <v>24</v>
      </c>
      <c r="D17" s="70"/>
      <c r="E17" s="70"/>
      <c r="F17" s="70"/>
    </row>
    <row r="18" spans="2:6" ht="22.05" customHeight="1" x14ac:dyDescent="0.3">
      <c r="B18" s="38" t="s">
        <v>25</v>
      </c>
      <c r="C18" s="74" t="s">
        <v>26</v>
      </c>
      <c r="D18" s="70"/>
      <c r="E18" s="70"/>
      <c r="F18" s="70"/>
    </row>
    <row r="19" spans="2:6" ht="22.05" customHeight="1" x14ac:dyDescent="0.3">
      <c r="B19" s="39" t="s">
        <v>27</v>
      </c>
      <c r="C19" s="69" t="s">
        <v>28</v>
      </c>
      <c r="D19" s="70"/>
      <c r="E19" s="70"/>
      <c r="F19" s="70"/>
    </row>
    <row r="20" spans="2:6" ht="22.05" customHeight="1" x14ac:dyDescent="0.3">
      <c r="B20" s="38" t="s">
        <v>29</v>
      </c>
      <c r="C20" s="74" t="s">
        <v>30</v>
      </c>
      <c r="D20" s="70"/>
      <c r="E20" s="70"/>
      <c r="F20" s="70"/>
    </row>
    <row r="22" spans="2:6" ht="7.95" customHeight="1" x14ac:dyDescent="0.3"/>
    <row r="23" spans="2:6" ht="24" customHeight="1" x14ac:dyDescent="0.3">
      <c r="B23" s="72" t="s">
        <v>31</v>
      </c>
      <c r="C23" s="67"/>
      <c r="D23" s="67"/>
      <c r="E23" s="67"/>
      <c r="F23" s="67"/>
    </row>
    <row r="24" spans="2:6" ht="22.05" customHeight="1" x14ac:dyDescent="0.3">
      <c r="B24" s="40" t="s">
        <v>32</v>
      </c>
      <c r="C24" s="40" t="s">
        <v>33</v>
      </c>
      <c r="D24" s="40" t="s">
        <v>34</v>
      </c>
      <c r="E24" s="40" t="s">
        <v>35</v>
      </c>
      <c r="F24" s="40" t="s">
        <v>36</v>
      </c>
    </row>
    <row r="25" spans="2:6" ht="28.05" customHeight="1" x14ac:dyDescent="0.3">
      <c r="B25" s="38" t="s">
        <v>37</v>
      </c>
      <c r="C25" s="41" t="s">
        <v>38</v>
      </c>
      <c r="D25" s="42" t="s">
        <v>39</v>
      </c>
      <c r="E25" s="43" t="s">
        <v>40</v>
      </c>
      <c r="F25" s="44" t="s">
        <v>41</v>
      </c>
    </row>
    <row r="26" spans="2:6" ht="28.05" customHeight="1" x14ac:dyDescent="0.3">
      <c r="B26" s="39" t="s">
        <v>42</v>
      </c>
      <c r="C26" s="45" t="s">
        <v>43</v>
      </c>
      <c r="D26" s="46" t="s">
        <v>44</v>
      </c>
      <c r="E26" s="47" t="s">
        <v>45</v>
      </c>
      <c r="F26" s="48" t="s">
        <v>46</v>
      </c>
    </row>
    <row r="27" spans="2:6" ht="28.05" customHeight="1" x14ac:dyDescent="0.3">
      <c r="B27" s="38" t="s">
        <v>47</v>
      </c>
      <c r="C27" s="41" t="s">
        <v>43</v>
      </c>
      <c r="D27" s="49" t="s">
        <v>48</v>
      </c>
      <c r="E27" s="43" t="s">
        <v>49</v>
      </c>
      <c r="F27" s="44" t="s">
        <v>50</v>
      </c>
    </row>
    <row r="28" spans="2:6" ht="28.05" customHeight="1" x14ac:dyDescent="0.3">
      <c r="B28" s="39" t="s">
        <v>51</v>
      </c>
      <c r="C28" s="45" t="s">
        <v>43</v>
      </c>
      <c r="D28" s="50" t="s">
        <v>52</v>
      </c>
      <c r="E28" s="47" t="s">
        <v>53</v>
      </c>
      <c r="F28" s="48" t="s">
        <v>54</v>
      </c>
    </row>
    <row r="29" spans="2:6" ht="28.05" customHeight="1" x14ac:dyDescent="0.3">
      <c r="B29" s="38" t="s">
        <v>55</v>
      </c>
      <c r="C29" s="41" t="s">
        <v>43</v>
      </c>
      <c r="D29" s="50" t="s">
        <v>52</v>
      </c>
      <c r="E29" s="43" t="s">
        <v>56</v>
      </c>
      <c r="F29" s="44" t="s">
        <v>57</v>
      </c>
    </row>
    <row r="30" spans="2:6" ht="28.05" customHeight="1" x14ac:dyDescent="0.3">
      <c r="B30" s="39" t="s">
        <v>58</v>
      </c>
      <c r="C30" s="45" t="s">
        <v>43</v>
      </c>
      <c r="D30" s="51" t="s">
        <v>59</v>
      </c>
      <c r="E30" s="47" t="s">
        <v>60</v>
      </c>
      <c r="F30" s="48" t="s">
        <v>61</v>
      </c>
    </row>
    <row r="31" spans="2:6" ht="28.05" customHeight="1" x14ac:dyDescent="0.3">
      <c r="B31" s="38" t="s">
        <v>62</v>
      </c>
      <c r="C31" s="41" t="s">
        <v>43</v>
      </c>
      <c r="D31" s="50" t="s">
        <v>52</v>
      </c>
      <c r="E31" s="43" t="s">
        <v>63</v>
      </c>
      <c r="F31" s="44" t="s">
        <v>64</v>
      </c>
    </row>
    <row r="32" spans="2:6" ht="28.05" customHeight="1" x14ac:dyDescent="0.3">
      <c r="B32" s="39" t="s">
        <v>65</v>
      </c>
      <c r="C32" s="45" t="s">
        <v>43</v>
      </c>
      <c r="D32" s="49" t="s">
        <v>48</v>
      </c>
      <c r="E32" s="47" t="s">
        <v>66</v>
      </c>
      <c r="F32" s="48" t="s">
        <v>67</v>
      </c>
    </row>
    <row r="33" spans="2:6" ht="28.05" customHeight="1" x14ac:dyDescent="0.3">
      <c r="B33" s="38" t="s">
        <v>68</v>
      </c>
      <c r="C33" s="41" t="s">
        <v>43</v>
      </c>
      <c r="D33" s="49" t="s">
        <v>48</v>
      </c>
      <c r="E33" s="43" t="s">
        <v>69</v>
      </c>
      <c r="F33" s="44" t="s">
        <v>70</v>
      </c>
    </row>
    <row r="34" spans="2:6" ht="28.05" customHeight="1" x14ac:dyDescent="0.3">
      <c r="B34" s="39" t="s">
        <v>71</v>
      </c>
      <c r="C34" s="45" t="s">
        <v>38</v>
      </c>
      <c r="D34" s="46" t="s">
        <v>44</v>
      </c>
      <c r="E34" s="47" t="s">
        <v>72</v>
      </c>
      <c r="F34" s="48" t="s">
        <v>73</v>
      </c>
    </row>
    <row r="35" spans="2:6" ht="28.05" customHeight="1" x14ac:dyDescent="0.3">
      <c r="B35" s="38" t="s">
        <v>74</v>
      </c>
      <c r="C35" s="41" t="s">
        <v>43</v>
      </c>
      <c r="D35" s="52" t="s">
        <v>75</v>
      </c>
      <c r="E35" s="43" t="s">
        <v>76</v>
      </c>
      <c r="F35" s="44" t="s">
        <v>77</v>
      </c>
    </row>
    <row r="36" spans="2:6" ht="28.05" customHeight="1" x14ac:dyDescent="0.3">
      <c r="B36" s="39" t="s">
        <v>78</v>
      </c>
      <c r="C36" s="45" t="s">
        <v>38</v>
      </c>
      <c r="D36" s="53" t="s">
        <v>79</v>
      </c>
      <c r="E36" s="47" t="s">
        <v>80</v>
      </c>
      <c r="F36" s="48" t="s">
        <v>81</v>
      </c>
    </row>
    <row r="37" spans="2:6" ht="28.05" customHeight="1" x14ac:dyDescent="0.3">
      <c r="B37" s="38" t="s">
        <v>82</v>
      </c>
      <c r="C37" s="41" t="s">
        <v>38</v>
      </c>
      <c r="D37" s="46" t="s">
        <v>44</v>
      </c>
      <c r="E37" s="43" t="s">
        <v>83</v>
      </c>
      <c r="F37" s="44" t="s">
        <v>84</v>
      </c>
    </row>
    <row r="38" spans="2:6" ht="28.05" customHeight="1" x14ac:dyDescent="0.3">
      <c r="B38" s="39" t="s">
        <v>85</v>
      </c>
      <c r="C38" s="45" t="s">
        <v>38</v>
      </c>
      <c r="D38" s="54" t="s">
        <v>86</v>
      </c>
      <c r="E38" s="47" t="s">
        <v>87</v>
      </c>
      <c r="F38" s="48" t="s">
        <v>88</v>
      </c>
    </row>
    <row r="39" spans="2:6" ht="28.05" customHeight="1" x14ac:dyDescent="0.3">
      <c r="B39" s="38" t="s">
        <v>89</v>
      </c>
      <c r="C39" s="41" t="s">
        <v>38</v>
      </c>
      <c r="D39" s="54" t="s">
        <v>86</v>
      </c>
      <c r="E39" s="43" t="s">
        <v>90</v>
      </c>
      <c r="F39" s="44" t="s">
        <v>88</v>
      </c>
    </row>
    <row r="40" spans="2:6" ht="28.05" customHeight="1" x14ac:dyDescent="0.3">
      <c r="B40" s="39" t="s">
        <v>91</v>
      </c>
      <c r="C40" s="45" t="s">
        <v>38</v>
      </c>
      <c r="D40" s="54" t="s">
        <v>86</v>
      </c>
      <c r="E40" s="47" t="s">
        <v>92</v>
      </c>
      <c r="F40" s="48" t="s">
        <v>88</v>
      </c>
    </row>
    <row r="41" spans="2:6" ht="28.05" customHeight="1" x14ac:dyDescent="0.3">
      <c r="B41" s="38" t="s">
        <v>93</v>
      </c>
      <c r="C41" s="41" t="s">
        <v>38</v>
      </c>
      <c r="D41" s="54" t="s">
        <v>86</v>
      </c>
      <c r="E41" s="43" t="s">
        <v>94</v>
      </c>
      <c r="F41" s="44" t="s">
        <v>88</v>
      </c>
    </row>
    <row r="42" spans="2:6" ht="28.05" customHeight="1" x14ac:dyDescent="0.3">
      <c r="B42" s="39" t="s">
        <v>95</v>
      </c>
      <c r="C42" s="45" t="s">
        <v>38</v>
      </c>
      <c r="D42" s="54" t="s">
        <v>86</v>
      </c>
      <c r="E42" s="47" t="s">
        <v>96</v>
      </c>
      <c r="F42" s="48" t="s">
        <v>88</v>
      </c>
    </row>
    <row r="43" spans="2:6" ht="28.05" customHeight="1" x14ac:dyDescent="0.3">
      <c r="B43" s="38" t="s">
        <v>97</v>
      </c>
      <c r="C43" s="41" t="s">
        <v>38</v>
      </c>
      <c r="D43" s="54" t="s">
        <v>86</v>
      </c>
      <c r="E43" s="43" t="s">
        <v>98</v>
      </c>
      <c r="F43" s="44" t="s">
        <v>88</v>
      </c>
    </row>
    <row r="44" spans="2:6" ht="28.05" customHeight="1" x14ac:dyDescent="0.3">
      <c r="B44" s="39" t="s">
        <v>99</v>
      </c>
      <c r="C44" s="45" t="s">
        <v>43</v>
      </c>
      <c r="D44" s="55" t="s">
        <v>100</v>
      </c>
      <c r="E44" s="47" t="s">
        <v>101</v>
      </c>
      <c r="F44" s="48" t="s">
        <v>61</v>
      </c>
    </row>
    <row r="45" spans="2:6" ht="28.05" customHeight="1" x14ac:dyDescent="0.3">
      <c r="B45" s="38" t="s">
        <v>102</v>
      </c>
      <c r="C45" s="41" t="s">
        <v>43</v>
      </c>
      <c r="D45" s="55" t="s">
        <v>100</v>
      </c>
      <c r="E45" s="43" t="s">
        <v>103</v>
      </c>
      <c r="F45" s="44" t="s">
        <v>104</v>
      </c>
    </row>
    <row r="46" spans="2:6" ht="28.05" customHeight="1" x14ac:dyDescent="0.3">
      <c r="B46" s="39" t="s">
        <v>105</v>
      </c>
      <c r="C46" s="45" t="s">
        <v>43</v>
      </c>
      <c r="D46" s="55" t="s">
        <v>100</v>
      </c>
      <c r="E46" s="47" t="s">
        <v>106</v>
      </c>
      <c r="F46" s="48" t="s">
        <v>61</v>
      </c>
    </row>
    <row r="47" spans="2:6" ht="28.05" customHeight="1" x14ac:dyDescent="0.3">
      <c r="B47" s="38" t="s">
        <v>107</v>
      </c>
      <c r="C47" s="41" t="s">
        <v>43</v>
      </c>
      <c r="D47" s="55" t="s">
        <v>100</v>
      </c>
      <c r="E47" s="43" t="s">
        <v>108</v>
      </c>
      <c r="F47" s="44" t="s">
        <v>109</v>
      </c>
    </row>
    <row r="48" spans="2:6" ht="28.05" customHeight="1" x14ac:dyDescent="0.3">
      <c r="B48" s="56" t="s">
        <v>110</v>
      </c>
      <c r="C48" s="57" t="s">
        <v>43</v>
      </c>
      <c r="D48" s="58" t="s">
        <v>111</v>
      </c>
      <c r="E48" s="59" t="s">
        <v>112</v>
      </c>
      <c r="F48" s="60" t="s">
        <v>64</v>
      </c>
    </row>
    <row r="50" spans="2:6" ht="7.95" customHeight="1" x14ac:dyDescent="0.3"/>
    <row r="51" spans="2:6" ht="22.05" customHeight="1" x14ac:dyDescent="0.3"/>
    <row r="52" spans="2:6" ht="19.95" customHeight="1" x14ac:dyDescent="0.3">
      <c r="B52" s="90"/>
      <c r="C52" s="85"/>
      <c r="D52" s="85"/>
      <c r="E52" s="85"/>
      <c r="F52" s="85"/>
    </row>
    <row r="53" spans="2:6" ht="19.95" customHeight="1" x14ac:dyDescent="0.3">
      <c r="B53" s="91"/>
      <c r="C53" s="85"/>
      <c r="D53" s="85"/>
      <c r="E53" s="85"/>
      <c r="F53" s="85"/>
    </row>
    <row r="54" spans="2:6" ht="19.95" customHeight="1" x14ac:dyDescent="0.3">
      <c r="B54" s="92"/>
      <c r="C54" s="85"/>
      <c r="D54" s="85"/>
      <c r="E54" s="85"/>
      <c r="F54" s="85"/>
    </row>
    <row r="55" spans="2:6" ht="19.95" customHeight="1" x14ac:dyDescent="0.3">
      <c r="B55" s="93"/>
      <c r="C55" s="85"/>
      <c r="D55" s="85"/>
      <c r="E55" s="85"/>
      <c r="F55" s="85"/>
    </row>
    <row r="56" spans="2:6" ht="19.95" customHeight="1" x14ac:dyDescent="0.3">
      <c r="B56" s="83"/>
      <c r="C56" s="84"/>
      <c r="D56" s="84"/>
      <c r="E56" s="84"/>
      <c r="F56" s="84"/>
    </row>
    <row r="57" spans="2:6" ht="19.95" customHeight="1" x14ac:dyDescent="0.3">
      <c r="C57" s="85"/>
      <c r="D57" s="85"/>
      <c r="E57" s="85"/>
      <c r="F57" s="85"/>
    </row>
    <row r="58" spans="2:6" ht="19.95" customHeight="1" x14ac:dyDescent="0.3">
      <c r="B58" s="86"/>
      <c r="C58" s="85"/>
      <c r="D58" s="85"/>
      <c r="E58" s="85"/>
      <c r="F58" s="85"/>
    </row>
    <row r="59" spans="2:6" ht="19.95" customHeight="1" x14ac:dyDescent="0.3">
      <c r="B59" s="87"/>
      <c r="C59" s="85"/>
      <c r="D59" s="85"/>
      <c r="E59" s="85"/>
      <c r="F59" s="85"/>
    </row>
    <row r="60" spans="2:6" ht="19.95" customHeight="1" x14ac:dyDescent="0.3">
      <c r="B60" s="88"/>
      <c r="C60" s="85"/>
      <c r="D60" s="85"/>
      <c r="E60" s="85"/>
      <c r="F60" s="85"/>
    </row>
    <row r="61" spans="2:6" ht="19.95" customHeight="1" x14ac:dyDescent="0.3">
      <c r="B61" s="89"/>
      <c r="C61" s="85"/>
      <c r="D61" s="85"/>
      <c r="E61" s="85"/>
      <c r="F61" s="85"/>
    </row>
  </sheetData>
  <mergeCells count="20">
    <mergeCell ref="B1:F1"/>
    <mergeCell ref="C14:F14"/>
    <mergeCell ref="C20:F20"/>
    <mergeCell ref="C16:F16"/>
    <mergeCell ref="C10:F10"/>
    <mergeCell ref="C9:F9"/>
    <mergeCell ref="C12:F12"/>
    <mergeCell ref="B5:F5"/>
    <mergeCell ref="B4:F4"/>
    <mergeCell ref="B7:F7"/>
    <mergeCell ref="C17:F17"/>
    <mergeCell ref="C8:F8"/>
    <mergeCell ref="C19:F19"/>
    <mergeCell ref="C13:F13"/>
    <mergeCell ref="C18:F18"/>
    <mergeCell ref="B56:F56"/>
    <mergeCell ref="C11:F11"/>
    <mergeCell ref="B2:F2"/>
    <mergeCell ref="C15:F15"/>
    <mergeCell ref="B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5"/>
  <sheetViews>
    <sheetView showGridLines="0" zoomScale="130" zoomScaleNormal="130" workbookViewId="0">
      <selection activeCell="J5" sqref="J5"/>
    </sheetView>
  </sheetViews>
  <sheetFormatPr defaultRowHeight="14.4" x14ac:dyDescent="0.3"/>
  <cols>
    <col min="1" max="1" width="3" customWidth="1"/>
    <col min="2" max="2" width="22.33203125" customWidth="1"/>
    <col min="3" max="3" width="18.21875" customWidth="1"/>
    <col min="4" max="4" width="18.33203125" customWidth="1"/>
    <col min="5" max="5" width="16.77734375" customWidth="1"/>
    <col min="6" max="6" width="27.77734375" customWidth="1"/>
    <col min="7" max="7" width="3" customWidth="1"/>
  </cols>
  <sheetData>
    <row r="1" spans="2:6" ht="42" customHeight="1" x14ac:dyDescent="0.3">
      <c r="B1" s="73" t="s">
        <v>113</v>
      </c>
      <c r="C1" s="67"/>
      <c r="D1" s="67"/>
      <c r="E1" s="67"/>
      <c r="F1" s="67"/>
    </row>
    <row r="2" spans="2:6" ht="18" customHeight="1" x14ac:dyDescent="0.3">
      <c r="B2" s="71" t="s">
        <v>114</v>
      </c>
      <c r="C2" s="67"/>
      <c r="D2" s="67"/>
      <c r="E2" s="67"/>
      <c r="F2" s="67"/>
    </row>
    <row r="3" spans="2:6" ht="6" customHeight="1" x14ac:dyDescent="0.3"/>
    <row r="4" spans="2:6" ht="52.05" customHeight="1" x14ac:dyDescent="0.3">
      <c r="B4" s="1" t="s">
        <v>115</v>
      </c>
      <c r="C4" s="2" t="s">
        <v>116</v>
      </c>
      <c r="D4" s="3" t="s">
        <v>117</v>
      </c>
      <c r="E4" s="4" t="s">
        <v>13</v>
      </c>
      <c r="F4" s="5" t="s">
        <v>118</v>
      </c>
    </row>
    <row r="5" spans="2:6" ht="52.05" customHeight="1" x14ac:dyDescent="0.3">
      <c r="B5" s="6" t="s">
        <v>119</v>
      </c>
      <c r="C5" s="7" t="s">
        <v>120</v>
      </c>
      <c r="D5" s="8" t="s">
        <v>121</v>
      </c>
      <c r="E5" s="9" t="s">
        <v>122</v>
      </c>
      <c r="F5" s="10" t="s">
        <v>123</v>
      </c>
    </row>
    <row r="6" spans="2:6" ht="6" customHeight="1" x14ac:dyDescent="0.3"/>
    <row r="7" spans="2:6" ht="7.8" customHeight="1" x14ac:dyDescent="0.3"/>
    <row r="8" spans="2:6" ht="24" customHeight="1" x14ac:dyDescent="0.3">
      <c r="B8" s="72" t="s">
        <v>124</v>
      </c>
      <c r="C8" s="67"/>
      <c r="D8" s="67"/>
      <c r="E8" s="67"/>
      <c r="F8" s="67"/>
    </row>
    <row r="9" spans="2:6" ht="22.05" customHeight="1" x14ac:dyDescent="0.3">
      <c r="B9" s="11" t="s">
        <v>125</v>
      </c>
      <c r="C9" s="76" t="s">
        <v>126</v>
      </c>
      <c r="D9" s="67"/>
      <c r="E9" s="67"/>
      <c r="F9" s="67"/>
    </row>
    <row r="10" spans="2:6" ht="22.05" customHeight="1" x14ac:dyDescent="0.3">
      <c r="B10" s="12" t="s">
        <v>127</v>
      </c>
      <c r="C10" s="78" t="s">
        <v>128</v>
      </c>
      <c r="D10" s="67"/>
      <c r="E10" s="67"/>
      <c r="F10" s="67"/>
    </row>
    <row r="11" spans="2:6" ht="22.05" customHeight="1" x14ac:dyDescent="0.3">
      <c r="B11" s="11" t="s">
        <v>129</v>
      </c>
      <c r="C11" s="76" t="s">
        <v>130</v>
      </c>
      <c r="D11" s="67"/>
      <c r="E11" s="67"/>
      <c r="F11" s="67"/>
    </row>
    <row r="12" spans="2:6" ht="22.05" customHeight="1" x14ac:dyDescent="0.3">
      <c r="B12" s="12" t="s">
        <v>131</v>
      </c>
      <c r="C12" s="78" t="s">
        <v>132</v>
      </c>
      <c r="D12" s="67"/>
      <c r="E12" s="67"/>
      <c r="F12" s="67"/>
    </row>
    <row r="13" spans="2:6" ht="22.05" customHeight="1" x14ac:dyDescent="0.3">
      <c r="B13" s="11" t="s">
        <v>133</v>
      </c>
      <c r="C13" s="76" t="s">
        <v>134</v>
      </c>
      <c r="D13" s="67"/>
      <c r="E13" s="67"/>
      <c r="F13" s="67"/>
    </row>
    <row r="14" spans="2:6" ht="22.05" customHeight="1" x14ac:dyDescent="0.3">
      <c r="B14" s="12" t="s">
        <v>135</v>
      </c>
      <c r="C14" s="78" t="s">
        <v>136</v>
      </c>
      <c r="D14" s="67"/>
      <c r="E14" s="67"/>
      <c r="F14" s="67"/>
    </row>
    <row r="15" spans="2:6" ht="22.05" customHeight="1" x14ac:dyDescent="0.3">
      <c r="B15" s="11" t="s">
        <v>137</v>
      </c>
      <c r="C15" s="76" t="s">
        <v>138</v>
      </c>
      <c r="D15" s="67"/>
      <c r="E15" s="67"/>
      <c r="F15" s="67"/>
    </row>
    <row r="16" spans="2:6" ht="22.05" customHeight="1" x14ac:dyDescent="0.3">
      <c r="B16" s="12" t="s">
        <v>139</v>
      </c>
      <c r="C16" s="78" t="s">
        <v>140</v>
      </c>
      <c r="D16" s="67"/>
      <c r="E16" s="67"/>
      <c r="F16" s="67"/>
    </row>
    <row r="17" spans="2:6" ht="22.05" customHeight="1" x14ac:dyDescent="0.3">
      <c r="B17" s="11" t="s">
        <v>141</v>
      </c>
      <c r="C17" s="76" t="s">
        <v>142</v>
      </c>
      <c r="D17" s="67"/>
      <c r="E17" s="67"/>
      <c r="F17" s="67"/>
    </row>
    <row r="18" spans="2:6" ht="22.05" customHeight="1" x14ac:dyDescent="0.3">
      <c r="B18" s="12" t="s">
        <v>143</v>
      </c>
      <c r="C18" s="78" t="s">
        <v>144</v>
      </c>
      <c r="D18" s="67"/>
      <c r="E18" s="67"/>
      <c r="F18" s="67"/>
    </row>
    <row r="19" spans="2:6" ht="7.95" customHeight="1" x14ac:dyDescent="0.3"/>
    <row r="20" spans="2:6" ht="24" customHeight="1" x14ac:dyDescent="0.3">
      <c r="B20" s="79" t="s">
        <v>145</v>
      </c>
      <c r="C20" s="67"/>
      <c r="D20" s="67"/>
      <c r="E20" s="67"/>
      <c r="F20" s="67"/>
    </row>
    <row r="21" spans="2:6" ht="22.05" customHeight="1" x14ac:dyDescent="0.3">
      <c r="B21" s="77" t="s">
        <v>146</v>
      </c>
      <c r="C21" s="67"/>
      <c r="D21" s="67"/>
      <c r="E21" s="67"/>
      <c r="F21" s="67"/>
    </row>
    <row r="22" spans="2:6" ht="22.05" customHeight="1" x14ac:dyDescent="0.3">
      <c r="B22" s="78" t="s">
        <v>147</v>
      </c>
      <c r="C22" s="67"/>
      <c r="D22" s="67"/>
      <c r="E22" s="67"/>
      <c r="F22" s="67"/>
    </row>
    <row r="23" spans="2:6" ht="22.05" customHeight="1" x14ac:dyDescent="0.3">
      <c r="B23" s="77" t="s">
        <v>148</v>
      </c>
      <c r="C23" s="67"/>
      <c r="D23" s="67"/>
      <c r="E23" s="67"/>
      <c r="F23" s="67"/>
    </row>
    <row r="24" spans="2:6" ht="22.05" customHeight="1" x14ac:dyDescent="0.3">
      <c r="B24" s="78" t="s">
        <v>149</v>
      </c>
      <c r="C24" s="67"/>
      <c r="D24" s="67"/>
      <c r="E24" s="67"/>
      <c r="F24" s="67"/>
    </row>
    <row r="25" spans="2:6" ht="22.05" customHeight="1" x14ac:dyDescent="0.3">
      <c r="B25" s="77" t="s">
        <v>150</v>
      </c>
      <c r="C25" s="67"/>
      <c r="D25" s="67"/>
      <c r="E25" s="67"/>
      <c r="F25" s="67"/>
    </row>
  </sheetData>
  <mergeCells count="19">
    <mergeCell ref="B25:F25"/>
    <mergeCell ref="B22:F22"/>
    <mergeCell ref="C13:F13"/>
    <mergeCell ref="B21:F21"/>
    <mergeCell ref="C18:F18"/>
    <mergeCell ref="B24:F24"/>
    <mergeCell ref="B2:F2"/>
    <mergeCell ref="C15:F15"/>
    <mergeCell ref="B23:F23"/>
    <mergeCell ref="B1:F1"/>
    <mergeCell ref="B8:F8"/>
    <mergeCell ref="C14:F14"/>
    <mergeCell ref="C16:F16"/>
    <mergeCell ref="C10:F10"/>
    <mergeCell ref="C9:F9"/>
    <mergeCell ref="B20:F20"/>
    <mergeCell ref="C12:F12"/>
    <mergeCell ref="C11:F11"/>
    <mergeCell ref="C17:F17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0"/>
  <sheetViews>
    <sheetView showGridLines="0" topLeftCell="A5" workbookViewId="0">
      <selection activeCell="B30" sqref="B30:F30"/>
    </sheetView>
  </sheetViews>
  <sheetFormatPr defaultRowHeight="14.4" x14ac:dyDescent="0.3"/>
  <cols>
    <col min="1" max="1" width="3" customWidth="1"/>
    <col min="2" max="2" width="26" customWidth="1"/>
    <col min="3" max="6" width="22" customWidth="1"/>
    <col min="7" max="7" width="3" customWidth="1"/>
  </cols>
  <sheetData>
    <row r="1" spans="2:6" ht="36" customHeight="1" x14ac:dyDescent="0.3">
      <c r="B1" s="68" t="s">
        <v>151</v>
      </c>
      <c r="C1" s="67"/>
      <c r="D1" s="67"/>
      <c r="E1" s="67"/>
      <c r="F1" s="67"/>
    </row>
    <row r="3" spans="2:6" ht="22.05" customHeight="1" x14ac:dyDescent="0.3">
      <c r="B3" s="13" t="s">
        <v>152</v>
      </c>
      <c r="C3" s="13" t="s">
        <v>153</v>
      </c>
      <c r="D3" s="13" t="s">
        <v>154</v>
      </c>
      <c r="E3" s="13" t="s">
        <v>155</v>
      </c>
      <c r="F3" s="13" t="s">
        <v>156</v>
      </c>
    </row>
    <row r="4" spans="2:6" ht="22.05" customHeight="1" x14ac:dyDescent="0.3">
      <c r="B4" s="14">
        <v>0</v>
      </c>
      <c r="C4" s="14" t="s">
        <v>157</v>
      </c>
      <c r="D4" s="14">
        <v>47</v>
      </c>
      <c r="E4" s="15" t="s">
        <v>158</v>
      </c>
      <c r="F4" s="14" t="s">
        <v>159</v>
      </c>
    </row>
    <row r="5" spans="2:6" ht="22.05" customHeight="1" x14ac:dyDescent="0.3">
      <c r="B5" s="16">
        <v>1</v>
      </c>
      <c r="C5" s="16" t="s">
        <v>160</v>
      </c>
      <c r="D5" s="16">
        <v>423</v>
      </c>
      <c r="E5" s="17" t="s">
        <v>161</v>
      </c>
      <c r="F5" s="16" t="s">
        <v>162</v>
      </c>
    </row>
    <row r="6" spans="2:6" ht="22.05" customHeight="1" x14ac:dyDescent="0.3">
      <c r="B6" s="18" t="s">
        <v>163</v>
      </c>
      <c r="C6" s="18"/>
      <c r="D6" s="18">
        <v>470</v>
      </c>
      <c r="E6" s="18" t="s">
        <v>164</v>
      </c>
      <c r="F6" s="18"/>
    </row>
    <row r="10" spans="2:6" x14ac:dyDescent="0.3">
      <c r="B10" t="s">
        <v>152</v>
      </c>
      <c r="C10" t="s">
        <v>154</v>
      </c>
    </row>
    <row r="11" spans="2:6" x14ac:dyDescent="0.3">
      <c r="B11" t="s">
        <v>165</v>
      </c>
      <c r="C11">
        <v>47</v>
      </c>
    </row>
    <row r="12" spans="2:6" x14ac:dyDescent="0.3">
      <c r="B12" t="s">
        <v>116</v>
      </c>
      <c r="C12">
        <v>423</v>
      </c>
    </row>
    <row r="30" spans="2:6" ht="31.95" customHeight="1" x14ac:dyDescent="0.3">
      <c r="B30" s="66" t="s">
        <v>166</v>
      </c>
      <c r="C30" s="67"/>
      <c r="D30" s="67"/>
      <c r="E30" s="67"/>
      <c r="F30" s="67"/>
    </row>
  </sheetData>
  <mergeCells count="2">
    <mergeCell ref="B30:F30"/>
    <mergeCell ref="B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6"/>
  <sheetViews>
    <sheetView showGridLines="0" topLeftCell="B7" workbookViewId="0">
      <selection activeCell="K11" sqref="K11"/>
    </sheetView>
  </sheetViews>
  <sheetFormatPr defaultRowHeight="14.4" x14ac:dyDescent="0.3"/>
  <cols>
    <col min="1" max="1" width="3" customWidth="1"/>
    <col min="2" max="2" width="28" customWidth="1"/>
    <col min="3" max="5" width="20" customWidth="1"/>
    <col min="6" max="6" width="22" customWidth="1"/>
    <col min="7" max="7" width="3" customWidth="1"/>
  </cols>
  <sheetData>
    <row r="1" spans="2:6" ht="36" customHeight="1" x14ac:dyDescent="0.3">
      <c r="B1" s="68" t="s">
        <v>167</v>
      </c>
      <c r="C1" s="67"/>
      <c r="D1" s="67"/>
      <c r="E1" s="67"/>
      <c r="F1" s="67"/>
    </row>
    <row r="3" spans="2:6" ht="22.05" customHeight="1" x14ac:dyDescent="0.3">
      <c r="B3" s="13" t="s">
        <v>168</v>
      </c>
      <c r="C3" s="13" t="s">
        <v>169</v>
      </c>
      <c r="D3" s="13" t="s">
        <v>170</v>
      </c>
      <c r="E3" s="13" t="s">
        <v>171</v>
      </c>
      <c r="F3" s="13" t="s">
        <v>172</v>
      </c>
    </row>
    <row r="4" spans="2:6" ht="22.05" customHeight="1" x14ac:dyDescent="0.3">
      <c r="B4" s="19" t="s">
        <v>42</v>
      </c>
      <c r="C4" s="20">
        <v>46.164999999999999</v>
      </c>
      <c r="D4" s="21">
        <v>46.637999999999998</v>
      </c>
      <c r="E4" s="22">
        <v>46.213000000000001</v>
      </c>
      <c r="F4" s="23" t="s">
        <v>173</v>
      </c>
    </row>
    <row r="5" spans="2:6" ht="22.05" customHeight="1" x14ac:dyDescent="0.3">
      <c r="B5" s="24" t="s">
        <v>174</v>
      </c>
      <c r="C5" s="20" t="s">
        <v>175</v>
      </c>
      <c r="D5" s="21" t="s">
        <v>176</v>
      </c>
      <c r="E5" s="25" t="s">
        <v>177</v>
      </c>
      <c r="F5" s="26" t="s">
        <v>178</v>
      </c>
    </row>
    <row r="6" spans="2:6" ht="22.05" customHeight="1" x14ac:dyDescent="0.3">
      <c r="B6" s="19" t="s">
        <v>179</v>
      </c>
      <c r="C6" s="20">
        <v>574.6</v>
      </c>
      <c r="D6" s="21">
        <v>625.6</v>
      </c>
      <c r="E6" s="22">
        <v>579.70000000000005</v>
      </c>
      <c r="F6" s="27" t="s">
        <v>178</v>
      </c>
    </row>
    <row r="7" spans="2:6" ht="22.05" customHeight="1" x14ac:dyDescent="0.3">
      <c r="B7" s="24" t="s">
        <v>180</v>
      </c>
      <c r="C7" s="20">
        <v>0.48199999999999998</v>
      </c>
      <c r="D7" s="21">
        <v>0.53500000000000003</v>
      </c>
      <c r="E7" s="25">
        <v>0.48699999999999999</v>
      </c>
      <c r="F7" s="26" t="s">
        <v>181</v>
      </c>
    </row>
    <row r="8" spans="2:6" ht="22.05" customHeight="1" x14ac:dyDescent="0.3">
      <c r="B8" s="19" t="s">
        <v>182</v>
      </c>
      <c r="C8" s="20">
        <v>3.1160000000000001</v>
      </c>
      <c r="D8" s="21">
        <v>1.5740000000000001</v>
      </c>
      <c r="E8" s="22">
        <v>2.9620000000000002</v>
      </c>
      <c r="F8" s="27" t="s">
        <v>183</v>
      </c>
    </row>
    <row r="9" spans="2:6" ht="22.05" customHeight="1" x14ac:dyDescent="0.3">
      <c r="B9" s="24" t="s">
        <v>184</v>
      </c>
      <c r="C9" s="20">
        <v>0.158</v>
      </c>
      <c r="D9" s="21">
        <v>0.128</v>
      </c>
      <c r="E9" s="25">
        <v>0.155</v>
      </c>
      <c r="F9" s="26" t="s">
        <v>183</v>
      </c>
    </row>
    <row r="10" spans="2:6" ht="22.05" customHeight="1" x14ac:dyDescent="0.3">
      <c r="B10" s="19" t="s">
        <v>185</v>
      </c>
      <c r="C10" s="20" t="s">
        <v>186</v>
      </c>
      <c r="D10" s="21" t="s">
        <v>187</v>
      </c>
      <c r="E10" s="22" t="s">
        <v>188</v>
      </c>
      <c r="F10" s="27" t="s">
        <v>183</v>
      </c>
    </row>
    <row r="11" spans="2:6" ht="22.05" customHeight="1" x14ac:dyDescent="0.3">
      <c r="B11" s="24" t="s">
        <v>189</v>
      </c>
      <c r="C11" s="20" t="s">
        <v>190</v>
      </c>
      <c r="D11" s="21" t="s">
        <v>190</v>
      </c>
      <c r="E11" s="25" t="s">
        <v>190</v>
      </c>
      <c r="F11" s="28" t="s">
        <v>173</v>
      </c>
    </row>
    <row r="12" spans="2:6" ht="22.05" customHeight="1" x14ac:dyDescent="0.3">
      <c r="B12" s="19" t="s">
        <v>191</v>
      </c>
      <c r="C12" s="20">
        <v>9.641</v>
      </c>
      <c r="D12" s="21">
        <v>10.212999999999999</v>
      </c>
      <c r="E12" s="22">
        <v>9.6980000000000004</v>
      </c>
      <c r="F12" s="23" t="s">
        <v>192</v>
      </c>
    </row>
    <row r="13" spans="2:6" ht="22.05" customHeight="1" x14ac:dyDescent="0.3">
      <c r="B13" s="24" t="s">
        <v>193</v>
      </c>
      <c r="C13" s="20">
        <v>1.9339999999999999</v>
      </c>
      <c r="D13" s="21">
        <v>2.532</v>
      </c>
      <c r="E13" s="25">
        <v>1.994</v>
      </c>
      <c r="F13" s="26" t="s">
        <v>178</v>
      </c>
    </row>
    <row r="14" spans="2:6" ht="22.05" customHeight="1" x14ac:dyDescent="0.3">
      <c r="B14" s="19" t="s">
        <v>194</v>
      </c>
      <c r="C14" s="20">
        <v>1.91</v>
      </c>
      <c r="D14" s="21">
        <v>2.7450000000000001</v>
      </c>
      <c r="E14" s="22">
        <v>1.994</v>
      </c>
      <c r="F14" s="27" t="s">
        <v>178</v>
      </c>
    </row>
    <row r="15" spans="2:6" ht="22.05" customHeight="1" x14ac:dyDescent="0.3">
      <c r="B15" s="24" t="s">
        <v>195</v>
      </c>
      <c r="C15" s="20">
        <v>2.1560000000000001</v>
      </c>
      <c r="D15" s="21">
        <v>0.72299999999999998</v>
      </c>
      <c r="E15" s="25">
        <v>2.0129999999999999</v>
      </c>
      <c r="F15" s="26" t="s">
        <v>183</v>
      </c>
    </row>
    <row r="16" spans="2:6" ht="22.05" customHeight="1" x14ac:dyDescent="0.3">
      <c r="B16" s="19" t="s">
        <v>196</v>
      </c>
      <c r="C16" s="20" t="s">
        <v>197</v>
      </c>
      <c r="D16" s="21" t="s">
        <v>190</v>
      </c>
      <c r="E16" s="22" t="s">
        <v>197</v>
      </c>
      <c r="F16" s="27" t="s">
        <v>183</v>
      </c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zoomScale="85" zoomScaleNormal="85" workbookViewId="0">
      <selection activeCell="H24" sqref="H24"/>
    </sheetView>
  </sheetViews>
  <sheetFormatPr defaultRowHeight="14.4" x14ac:dyDescent="0.3"/>
  <cols>
    <col min="1" max="1" width="3" customWidth="1"/>
    <col min="2" max="2" width="26" customWidth="1"/>
    <col min="3" max="6" width="22" customWidth="1"/>
    <col min="7" max="7" width="3" customWidth="1"/>
  </cols>
  <sheetData>
    <row r="1" spans="1:6" ht="36" customHeight="1" x14ac:dyDescent="0.3">
      <c r="A1" t="s">
        <v>266</v>
      </c>
      <c r="B1" s="68" t="s">
        <v>198</v>
      </c>
      <c r="C1" s="67"/>
      <c r="D1" s="67"/>
      <c r="E1" s="67"/>
      <c r="F1" s="67"/>
    </row>
    <row r="3" spans="1:6" ht="24" customHeight="1" x14ac:dyDescent="0.3">
      <c r="B3" s="72" t="s">
        <v>199</v>
      </c>
      <c r="C3" s="67"/>
      <c r="D3" s="67"/>
      <c r="E3" s="67"/>
      <c r="F3" s="67"/>
    </row>
    <row r="4" spans="1:6" ht="19.95" customHeight="1" x14ac:dyDescent="0.3">
      <c r="B4" s="29" t="s">
        <v>34</v>
      </c>
      <c r="C4" s="29" t="s">
        <v>200</v>
      </c>
      <c r="D4" s="29" t="s">
        <v>201</v>
      </c>
      <c r="E4" s="29" t="s">
        <v>156</v>
      </c>
      <c r="F4" s="29"/>
    </row>
    <row r="5" spans="1:6" ht="22.05" customHeight="1" x14ac:dyDescent="0.3">
      <c r="B5" s="19" t="s">
        <v>202</v>
      </c>
      <c r="C5" s="64">
        <v>0.108</v>
      </c>
      <c r="D5" s="65">
        <v>0.89200000000000002</v>
      </c>
      <c r="E5" s="30" t="s">
        <v>203</v>
      </c>
    </row>
    <row r="6" spans="1:6" ht="22.05" customHeight="1" x14ac:dyDescent="0.3">
      <c r="B6" s="24" t="s">
        <v>204</v>
      </c>
      <c r="C6" s="64">
        <v>7.9000000000000001E-2</v>
      </c>
      <c r="D6" s="65">
        <v>0.92100000000000004</v>
      </c>
      <c r="E6" s="31" t="s">
        <v>162</v>
      </c>
    </row>
    <row r="7" spans="1:6" ht="22.05" customHeight="1" x14ac:dyDescent="0.3">
      <c r="B7" s="19" t="s">
        <v>205</v>
      </c>
      <c r="C7" s="64">
        <v>6.6000000000000003E-2</v>
      </c>
      <c r="D7" s="65">
        <v>0.93400000000000005</v>
      </c>
      <c r="E7" s="32" t="s">
        <v>206</v>
      </c>
    </row>
    <row r="8" spans="1:6" ht="22.05" customHeight="1" x14ac:dyDescent="0.3">
      <c r="B8" s="24" t="s">
        <v>207</v>
      </c>
      <c r="C8" s="64">
        <v>0.17199999999999999</v>
      </c>
      <c r="D8" s="65">
        <v>0.82799999999999996</v>
      </c>
      <c r="E8" s="33" t="s">
        <v>203</v>
      </c>
    </row>
    <row r="9" spans="1:6" ht="22.05" customHeight="1" x14ac:dyDescent="0.3">
      <c r="B9" s="19" t="s">
        <v>208</v>
      </c>
      <c r="C9" s="64">
        <v>0.108</v>
      </c>
      <c r="D9" s="65">
        <v>0.89200000000000002</v>
      </c>
      <c r="E9" s="30" t="s">
        <v>203</v>
      </c>
    </row>
    <row r="10" spans="1:6" ht="22.05" customHeight="1" x14ac:dyDescent="0.3">
      <c r="B10" s="24" t="s">
        <v>209</v>
      </c>
      <c r="C10" s="64">
        <v>0.06</v>
      </c>
      <c r="D10" s="65">
        <v>0.94</v>
      </c>
      <c r="E10" s="31" t="s">
        <v>206</v>
      </c>
    </row>
    <row r="12" spans="1:6" ht="24" customHeight="1" x14ac:dyDescent="0.3">
      <c r="B12" s="72" t="s">
        <v>210</v>
      </c>
      <c r="C12" s="67"/>
      <c r="D12" s="67"/>
      <c r="E12" s="67"/>
      <c r="F12" s="67"/>
    </row>
    <row r="13" spans="1:6" ht="19.95" customHeight="1" x14ac:dyDescent="0.3">
      <c r="B13" s="29" t="s">
        <v>34</v>
      </c>
      <c r="C13" s="29" t="s">
        <v>200</v>
      </c>
      <c r="D13" s="29" t="s">
        <v>201</v>
      </c>
      <c r="E13" s="29" t="s">
        <v>156</v>
      </c>
      <c r="F13" s="29"/>
    </row>
    <row r="14" spans="1:6" ht="22.05" customHeight="1" x14ac:dyDescent="0.3">
      <c r="B14" s="19" t="s">
        <v>211</v>
      </c>
      <c r="C14" s="64">
        <v>0.15</v>
      </c>
      <c r="D14" s="65">
        <v>0.85</v>
      </c>
      <c r="E14" s="30" t="s">
        <v>203</v>
      </c>
    </row>
    <row r="15" spans="1:6" ht="22.05" customHeight="1" x14ac:dyDescent="0.3">
      <c r="B15" s="24" t="s">
        <v>212</v>
      </c>
      <c r="C15" s="64">
        <v>9.0999999999999998E-2</v>
      </c>
      <c r="D15" s="65">
        <v>0.90900000000000003</v>
      </c>
      <c r="E15" s="31" t="s">
        <v>162</v>
      </c>
    </row>
    <row r="16" spans="1:6" ht="22.05" customHeight="1" x14ac:dyDescent="0.3">
      <c r="B16" s="19" t="s">
        <v>213</v>
      </c>
      <c r="C16" s="64">
        <v>9.6000000000000002E-2</v>
      </c>
      <c r="D16" s="65">
        <v>0.90400000000000003</v>
      </c>
      <c r="E16" s="32" t="s">
        <v>162</v>
      </c>
    </row>
    <row r="17" spans="2:6" ht="22.05" customHeight="1" x14ac:dyDescent="0.3">
      <c r="B17" s="24" t="s">
        <v>214</v>
      </c>
      <c r="C17" s="64">
        <v>9.8000000000000004E-2</v>
      </c>
      <c r="D17" s="65">
        <v>0.90200000000000002</v>
      </c>
      <c r="E17" s="31" t="s">
        <v>162</v>
      </c>
    </row>
    <row r="18" spans="2:6" ht="22.05" customHeight="1" x14ac:dyDescent="0.3">
      <c r="B18" s="19" t="s">
        <v>215</v>
      </c>
      <c r="C18" s="64">
        <v>6.7000000000000004E-2</v>
      </c>
      <c r="D18" s="65">
        <v>0.93300000000000005</v>
      </c>
      <c r="E18" s="32" t="s">
        <v>206</v>
      </c>
    </row>
    <row r="20" spans="2:6" ht="24" customHeight="1" x14ac:dyDescent="0.3">
      <c r="B20" s="72" t="s">
        <v>216</v>
      </c>
      <c r="C20" s="67"/>
      <c r="D20" s="67"/>
      <c r="E20" s="67"/>
      <c r="F20" s="67"/>
    </row>
    <row r="21" spans="2:6" ht="19.95" customHeight="1" x14ac:dyDescent="0.3">
      <c r="B21" s="29" t="s">
        <v>34</v>
      </c>
      <c r="C21" s="29" t="s">
        <v>200</v>
      </c>
      <c r="D21" s="29" t="s">
        <v>201</v>
      </c>
      <c r="E21" s="29" t="s">
        <v>156</v>
      </c>
      <c r="F21" s="29"/>
    </row>
    <row r="22" spans="2:6" ht="22.05" customHeight="1" x14ac:dyDescent="0.3">
      <c r="B22" s="19" t="s">
        <v>217</v>
      </c>
      <c r="C22" s="64">
        <v>0.11</v>
      </c>
      <c r="D22" s="65">
        <v>0.89</v>
      </c>
      <c r="E22" s="30" t="s">
        <v>203</v>
      </c>
    </row>
    <row r="23" spans="2:6" ht="22.05" customHeight="1" x14ac:dyDescent="0.3">
      <c r="B23" s="24" t="s">
        <v>218</v>
      </c>
      <c r="C23" s="64">
        <v>9.0999999999999998E-2</v>
      </c>
      <c r="D23" s="65">
        <v>0.90900000000000003</v>
      </c>
      <c r="E23" s="31" t="s">
        <v>162</v>
      </c>
    </row>
    <row r="24" spans="2:6" ht="22.05" customHeight="1" x14ac:dyDescent="0.3">
      <c r="B24" s="19" t="s">
        <v>219</v>
      </c>
      <c r="C24" s="64">
        <v>0.09</v>
      </c>
      <c r="D24" s="65">
        <v>0.91</v>
      </c>
      <c r="E24" s="32" t="s">
        <v>162</v>
      </c>
    </row>
    <row r="25" spans="2:6" ht="22.05" customHeight="1" x14ac:dyDescent="0.3">
      <c r="B25" s="24" t="s">
        <v>220</v>
      </c>
      <c r="C25" s="64">
        <v>6.8000000000000005E-2</v>
      </c>
      <c r="D25" s="65">
        <v>0.93200000000000005</v>
      </c>
      <c r="E25" s="31" t="s">
        <v>206</v>
      </c>
    </row>
    <row r="26" spans="2:6" ht="22.05" customHeight="1" x14ac:dyDescent="0.3">
      <c r="B26" s="19" t="s">
        <v>221</v>
      </c>
      <c r="C26" s="64">
        <v>0.13800000000000001</v>
      </c>
      <c r="D26" s="65">
        <v>0.86199999999999999</v>
      </c>
      <c r="E26" s="30" t="s">
        <v>203</v>
      </c>
    </row>
  </sheetData>
  <mergeCells count="4">
    <mergeCell ref="B20:F20"/>
    <mergeCell ref="B12:F12"/>
    <mergeCell ref="B1:F1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5"/>
  <sheetViews>
    <sheetView showGridLines="0" workbookViewId="0">
      <selection activeCell="N9" sqref="N9"/>
    </sheetView>
  </sheetViews>
  <sheetFormatPr defaultRowHeight="14.4" x14ac:dyDescent="0.3"/>
  <cols>
    <col min="1" max="1" width="3" customWidth="1"/>
    <col min="2" max="8" width="18" customWidth="1"/>
    <col min="9" max="9" width="3" customWidth="1"/>
  </cols>
  <sheetData>
    <row r="1" spans="2:8" ht="36" customHeight="1" x14ac:dyDescent="0.3">
      <c r="B1" s="68" t="s">
        <v>222</v>
      </c>
      <c r="C1" s="67"/>
      <c r="D1" s="67"/>
      <c r="E1" s="67"/>
      <c r="F1" s="67"/>
      <c r="G1" s="67"/>
      <c r="H1" s="67"/>
    </row>
    <row r="3" spans="2:8" ht="24" customHeight="1" x14ac:dyDescent="0.3">
      <c r="B3" s="79" t="s">
        <v>223</v>
      </c>
      <c r="C3" s="67"/>
      <c r="D3" s="67"/>
      <c r="E3" s="67"/>
      <c r="F3" s="67"/>
      <c r="G3" s="67"/>
      <c r="H3" s="67"/>
    </row>
    <row r="4" spans="2:8" ht="19.95" customHeight="1" x14ac:dyDescent="0.3">
      <c r="B4" s="13" t="s">
        <v>224</v>
      </c>
      <c r="C4" s="13" t="s">
        <v>85</v>
      </c>
      <c r="D4" s="13" t="s">
        <v>89</v>
      </c>
      <c r="E4" s="13" t="s">
        <v>91</v>
      </c>
      <c r="F4" s="13" t="s">
        <v>93</v>
      </c>
      <c r="G4" s="13" t="s">
        <v>95</v>
      </c>
      <c r="H4" s="13" t="s">
        <v>97</v>
      </c>
    </row>
    <row r="5" spans="2:8" ht="22.05" customHeight="1" x14ac:dyDescent="0.3">
      <c r="B5" s="21" t="s">
        <v>225</v>
      </c>
      <c r="C5" s="61">
        <v>0.34300000000000003</v>
      </c>
      <c r="D5" s="61">
        <v>0.30299999999999999</v>
      </c>
      <c r="E5" s="61">
        <v>0.34300000000000003</v>
      </c>
      <c r="F5" s="61">
        <v>0.30299999999999999</v>
      </c>
      <c r="G5" s="61">
        <v>0.317</v>
      </c>
      <c r="H5" s="61">
        <v>0.30299999999999999</v>
      </c>
    </row>
    <row r="6" spans="2:8" ht="22.05" customHeight="1" x14ac:dyDescent="0.3">
      <c r="B6" s="34" t="s">
        <v>226</v>
      </c>
      <c r="C6" s="63">
        <v>0.314</v>
      </c>
      <c r="D6" s="63">
        <v>0.35</v>
      </c>
      <c r="E6" s="63">
        <v>0.31</v>
      </c>
      <c r="F6" s="63">
        <v>0.34799999999999998</v>
      </c>
      <c r="G6" s="63">
        <v>0.28599999999999998</v>
      </c>
      <c r="H6" s="63">
        <v>0.32600000000000001</v>
      </c>
    </row>
    <row r="7" spans="2:8" ht="22.05" customHeight="1" x14ac:dyDescent="0.3">
      <c r="B7" s="20" t="s">
        <v>227</v>
      </c>
      <c r="C7" s="62">
        <v>0.34300000000000003</v>
      </c>
      <c r="D7" s="62">
        <v>0.34799999999999998</v>
      </c>
      <c r="E7" s="62">
        <v>0.34799999999999998</v>
      </c>
      <c r="F7" s="62">
        <v>0.35</v>
      </c>
      <c r="G7" s="62">
        <v>0.39700000000000002</v>
      </c>
      <c r="H7" s="62">
        <v>0.371</v>
      </c>
    </row>
    <row r="9" spans="2:8" ht="24" customHeight="1" x14ac:dyDescent="0.3">
      <c r="B9" s="81" t="s">
        <v>228</v>
      </c>
      <c r="C9" s="67"/>
      <c r="D9" s="67"/>
      <c r="E9" s="67"/>
      <c r="F9" s="67"/>
      <c r="G9" s="67"/>
      <c r="H9" s="67"/>
    </row>
    <row r="10" spans="2:8" ht="19.95" customHeight="1" x14ac:dyDescent="0.3">
      <c r="B10" s="13" t="s">
        <v>224</v>
      </c>
      <c r="C10" s="13" t="s">
        <v>85</v>
      </c>
      <c r="D10" s="13" t="s">
        <v>89</v>
      </c>
      <c r="E10" s="13" t="s">
        <v>91</v>
      </c>
      <c r="F10" s="13" t="s">
        <v>93</v>
      </c>
      <c r="G10" s="13" t="s">
        <v>95</v>
      </c>
      <c r="H10" s="13" t="s">
        <v>97</v>
      </c>
    </row>
    <row r="11" spans="2:8" ht="22.05" customHeight="1" x14ac:dyDescent="0.3">
      <c r="B11" s="21" t="s">
        <v>225</v>
      </c>
      <c r="C11" s="61">
        <v>0.53200000000000003</v>
      </c>
      <c r="D11" s="61">
        <v>0.44700000000000001</v>
      </c>
      <c r="E11" s="61">
        <v>0.42599999999999999</v>
      </c>
      <c r="F11" s="61">
        <v>0.48899999999999999</v>
      </c>
      <c r="G11" s="61">
        <v>0.38300000000000001</v>
      </c>
      <c r="H11" s="61">
        <v>0.46800000000000003</v>
      </c>
    </row>
    <row r="12" spans="2:8" ht="22.05" customHeight="1" x14ac:dyDescent="0.3">
      <c r="B12" s="34" t="s">
        <v>226</v>
      </c>
      <c r="C12" s="63">
        <v>0.31900000000000001</v>
      </c>
      <c r="D12" s="63">
        <v>0.34</v>
      </c>
      <c r="E12" s="63">
        <v>0.48899999999999999</v>
      </c>
      <c r="F12" s="63">
        <v>0.42599999999999999</v>
      </c>
      <c r="G12" s="63">
        <v>0.48899999999999999</v>
      </c>
      <c r="H12" s="63">
        <v>0.46800000000000003</v>
      </c>
    </row>
    <row r="13" spans="2:8" ht="22.05" customHeight="1" x14ac:dyDescent="0.3">
      <c r="B13" s="20" t="s">
        <v>227</v>
      </c>
      <c r="C13" s="62">
        <v>0.14899999999999999</v>
      </c>
      <c r="D13" s="62">
        <v>0.21299999999999999</v>
      </c>
      <c r="E13" s="62">
        <v>8.5000000000000006E-2</v>
      </c>
      <c r="F13" s="62">
        <v>8.5000000000000006E-2</v>
      </c>
      <c r="G13" s="62">
        <v>0.128</v>
      </c>
      <c r="H13" s="62">
        <v>6.4000000000000001E-2</v>
      </c>
    </row>
    <row r="15" spans="2:8" ht="36" customHeight="1" x14ac:dyDescent="0.3">
      <c r="B15" s="80" t="s">
        <v>229</v>
      </c>
      <c r="C15" s="67"/>
      <c r="D15" s="67"/>
      <c r="E15" s="67"/>
      <c r="F15" s="67"/>
      <c r="G15" s="67"/>
      <c r="H15" s="67"/>
    </row>
  </sheetData>
  <mergeCells count="4">
    <mergeCell ref="B1:H1"/>
    <mergeCell ref="B3:H3"/>
    <mergeCell ref="B15:H15"/>
    <mergeCell ref="B9:H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21"/>
  <sheetViews>
    <sheetView showGridLines="0" tabSelected="1" zoomScaleNormal="100" workbookViewId="0">
      <selection activeCell="I16" sqref="I16"/>
    </sheetView>
  </sheetViews>
  <sheetFormatPr defaultRowHeight="14.4" x14ac:dyDescent="0.3"/>
  <cols>
    <col min="1" max="1" width="3" customWidth="1"/>
    <col min="2" max="2" width="30" customWidth="1"/>
    <col min="3" max="4" width="24" customWidth="1"/>
    <col min="5" max="5" width="3" customWidth="1"/>
  </cols>
  <sheetData>
    <row r="1" spans="2:4" ht="36" customHeight="1" x14ac:dyDescent="0.3">
      <c r="B1" s="68" t="s">
        <v>231</v>
      </c>
      <c r="C1" s="67"/>
      <c r="D1" s="67"/>
    </row>
    <row r="3" spans="2:4" ht="24" customHeight="1" x14ac:dyDescent="0.3">
      <c r="B3" s="35" t="s">
        <v>232</v>
      </c>
      <c r="C3" s="36" t="s">
        <v>233</v>
      </c>
      <c r="D3" s="37" t="s">
        <v>234</v>
      </c>
    </row>
    <row r="4" spans="2:4" ht="22.05" customHeight="1" x14ac:dyDescent="0.3">
      <c r="B4" s="19" t="s">
        <v>235</v>
      </c>
      <c r="C4" s="20" t="s">
        <v>236</v>
      </c>
      <c r="D4" s="21" t="s">
        <v>237</v>
      </c>
    </row>
    <row r="5" spans="2:4" ht="22.05" customHeight="1" x14ac:dyDescent="0.3">
      <c r="B5" s="24" t="s">
        <v>238</v>
      </c>
      <c r="C5" s="20" t="s">
        <v>239</v>
      </c>
      <c r="D5" s="21" t="s">
        <v>240</v>
      </c>
    </row>
    <row r="6" spans="2:4" ht="22.05" customHeight="1" x14ac:dyDescent="0.3">
      <c r="B6" s="19" t="s">
        <v>241</v>
      </c>
      <c r="C6" s="20" t="s">
        <v>175</v>
      </c>
      <c r="D6" s="21" t="s">
        <v>176</v>
      </c>
    </row>
    <row r="7" spans="2:4" ht="22.05" customHeight="1" x14ac:dyDescent="0.3">
      <c r="B7" s="24" t="s">
        <v>242</v>
      </c>
      <c r="C7" s="20">
        <v>574.6</v>
      </c>
      <c r="D7" s="21">
        <v>625.6</v>
      </c>
    </row>
    <row r="8" spans="2:4" ht="22.05" customHeight="1" x14ac:dyDescent="0.3">
      <c r="B8" s="19" t="s">
        <v>243</v>
      </c>
      <c r="C8" s="20" t="s">
        <v>186</v>
      </c>
      <c r="D8" s="21" t="s">
        <v>187</v>
      </c>
    </row>
    <row r="9" spans="2:4" ht="22.05" customHeight="1" x14ac:dyDescent="0.3">
      <c r="B9" s="24" t="s">
        <v>196</v>
      </c>
      <c r="C9" s="20">
        <v>0.72199999999999998</v>
      </c>
      <c r="D9" s="21">
        <v>0.217</v>
      </c>
    </row>
    <row r="10" spans="2:4" ht="22.05" customHeight="1" x14ac:dyDescent="0.3">
      <c r="B10" s="19" t="s">
        <v>182</v>
      </c>
      <c r="C10" s="20" t="s">
        <v>244</v>
      </c>
      <c r="D10" s="21" t="s">
        <v>245</v>
      </c>
    </row>
    <row r="11" spans="2:4" ht="22.05" customHeight="1" x14ac:dyDescent="0.3">
      <c r="B11" s="24" t="s">
        <v>246</v>
      </c>
      <c r="C11" s="20" t="s">
        <v>247</v>
      </c>
      <c r="D11" s="21" t="s">
        <v>248</v>
      </c>
    </row>
    <row r="12" spans="2:4" ht="22.05" customHeight="1" x14ac:dyDescent="0.3">
      <c r="B12" s="19" t="s">
        <v>249</v>
      </c>
      <c r="C12" s="20" t="s">
        <v>250</v>
      </c>
      <c r="D12" s="21" t="s">
        <v>251</v>
      </c>
    </row>
    <row r="13" spans="2:4" ht="22.05" customHeight="1" x14ac:dyDescent="0.3">
      <c r="B13" s="24" t="s">
        <v>180</v>
      </c>
      <c r="C13" s="20" t="s">
        <v>252</v>
      </c>
      <c r="D13" s="21" t="s">
        <v>253</v>
      </c>
    </row>
    <row r="14" spans="2:4" ht="22.05" customHeight="1" x14ac:dyDescent="0.3">
      <c r="B14" s="19" t="s">
        <v>189</v>
      </c>
      <c r="C14" s="20">
        <v>0.30099999999999999</v>
      </c>
      <c r="D14" s="21">
        <v>0.308</v>
      </c>
    </row>
    <row r="15" spans="2:4" ht="22.05" customHeight="1" x14ac:dyDescent="0.3">
      <c r="B15" s="24" t="s">
        <v>230</v>
      </c>
      <c r="C15" s="20" t="s">
        <v>254</v>
      </c>
      <c r="D15" s="21" t="s">
        <v>255</v>
      </c>
    </row>
    <row r="16" spans="2:4" ht="22.05" customHeight="1" x14ac:dyDescent="0.3">
      <c r="B16" s="19" t="s">
        <v>256</v>
      </c>
      <c r="C16" s="20" t="s">
        <v>257</v>
      </c>
      <c r="D16" s="21" t="s">
        <v>258</v>
      </c>
    </row>
    <row r="17" spans="2:4" ht="22.05" customHeight="1" x14ac:dyDescent="0.3">
      <c r="B17" s="24" t="s">
        <v>259</v>
      </c>
      <c r="C17" s="20" t="s">
        <v>260</v>
      </c>
      <c r="D17" s="21" t="s">
        <v>261</v>
      </c>
    </row>
    <row r="18" spans="2:4" ht="22.05" customHeight="1" x14ac:dyDescent="0.3">
      <c r="B18" s="19" t="s">
        <v>262</v>
      </c>
      <c r="C18" s="20" t="s">
        <v>263</v>
      </c>
      <c r="D18" s="21" t="s">
        <v>264</v>
      </c>
    </row>
    <row r="21" spans="2:4" ht="31.95" customHeight="1" x14ac:dyDescent="0.3">
      <c r="B21" s="82" t="s">
        <v>265</v>
      </c>
      <c r="C21" s="67"/>
      <c r="D21" s="67"/>
    </row>
  </sheetData>
  <mergeCells count="2">
    <mergeCell ref="B1:D1"/>
    <mergeCell ref="B21:D2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Overview</vt:lpstr>
      <vt:lpstr>Executive Summary</vt:lpstr>
      <vt:lpstr>Target Distribution</vt:lpstr>
      <vt:lpstr>Feature Comparison</vt:lpstr>
      <vt:lpstr>Categorical Breakdown</vt:lpstr>
      <vt:lpstr>Payment History</vt:lpstr>
      <vt:lpstr>Risk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waghmare</cp:lastModifiedBy>
  <cp:lastPrinted>2026-03-18T13:24:53Z</cp:lastPrinted>
  <dcterms:created xsi:type="dcterms:W3CDTF">2026-03-18T12:53:31Z</dcterms:created>
  <dcterms:modified xsi:type="dcterms:W3CDTF">2026-04-05T11:10:48Z</dcterms:modified>
</cp:coreProperties>
</file>